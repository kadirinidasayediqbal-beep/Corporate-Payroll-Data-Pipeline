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20e2268e3301711/Documents/"/>
    </mc:Choice>
  </mc:AlternateContent>
  <xr:revisionPtr revIDLastSave="3" documentId="8_{830FE39E-039E-44D6-9B74-059E406EF061}" xr6:coauthVersionLast="47" xr6:coauthVersionMax="47" xr10:uidLastSave="{7DB0C231-6A75-48FD-9476-07FB2E93B59C}"/>
  <bookViews>
    <workbookView xWindow="-120" yWindow="-120" windowWidth="20730" windowHeight="11160" activeTab="2" xr2:uid="{BFB8C157-8013-48D9-80C2-A095496BDEFE}"/>
  </bookViews>
  <sheets>
    <sheet name="Product List" sheetId="4" r:id="rId1"/>
    <sheet name=" MIS Summary" sheetId="3" r:id="rId2"/>
    <sheet name="Raw Data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2" i="1"/>
  <c r="H2" i="1"/>
  <c r="J3" i="1"/>
  <c r="J4" i="1"/>
  <c r="J5" i="1"/>
  <c r="J6" i="1"/>
  <c r="J7" i="1"/>
  <c r="J8" i="1"/>
  <c r="J9" i="1"/>
  <c r="J10" i="1"/>
  <c r="J2" i="1"/>
  <c r="I3" i="1"/>
  <c r="I4" i="1"/>
  <c r="I5" i="1"/>
  <c r="I6" i="1"/>
  <c r="I7" i="1"/>
  <c r="I8" i="1"/>
  <c r="I9" i="1"/>
  <c r="I10" i="1"/>
  <c r="I2" i="1"/>
  <c r="B3" i="3"/>
  <c r="H10" i="1"/>
  <c r="H3" i="1"/>
  <c r="H4" i="1"/>
  <c r="H5" i="1"/>
  <c r="H6" i="1"/>
  <c r="H7" i="1"/>
  <c r="H8" i="1"/>
  <c r="H9" i="1"/>
</calcChain>
</file>

<file path=xl/sharedStrings.xml><?xml version="1.0" encoding="utf-8"?>
<sst xmlns="http://schemas.openxmlformats.org/spreadsheetml/2006/main" count="77" uniqueCount="39">
  <si>
    <t>SaleID</t>
  </si>
  <si>
    <t>Salesperson</t>
  </si>
  <si>
    <t>Region</t>
  </si>
  <si>
    <t>Product</t>
  </si>
  <si>
    <t>Month</t>
  </si>
  <si>
    <t>Units Sold</t>
  </si>
  <si>
    <t>Price Per Unit</t>
  </si>
  <si>
    <t>Ravi</t>
  </si>
  <si>
    <t>Mumbai</t>
  </si>
  <si>
    <t xml:space="preserve">Laptop </t>
  </si>
  <si>
    <t>Jan</t>
  </si>
  <si>
    <t xml:space="preserve">Sneha </t>
  </si>
  <si>
    <t>Pune</t>
  </si>
  <si>
    <t>Mobile</t>
  </si>
  <si>
    <t>Farhan</t>
  </si>
  <si>
    <t>Tablet</t>
  </si>
  <si>
    <t>Meera</t>
  </si>
  <si>
    <t>Feb</t>
  </si>
  <si>
    <t>Arjun</t>
  </si>
  <si>
    <t>Pooja</t>
  </si>
  <si>
    <t>Karan</t>
  </si>
  <si>
    <t>Mar</t>
  </si>
  <si>
    <t>Divya</t>
  </si>
  <si>
    <t xml:space="preserve">Rohit </t>
  </si>
  <si>
    <t>Row Labels</t>
  </si>
  <si>
    <t>Grand Total</t>
  </si>
  <si>
    <t>Total Sales</t>
  </si>
  <si>
    <t>Sum of Total Sales</t>
  </si>
  <si>
    <t xml:space="preserve">Total Revenue </t>
  </si>
  <si>
    <t>Top Salesperson</t>
  </si>
  <si>
    <t>Sales MIS Report  - Jan to Mar</t>
  </si>
  <si>
    <t>Best Month</t>
  </si>
  <si>
    <t>Produc Category</t>
  </si>
  <si>
    <t>Laptop</t>
  </si>
  <si>
    <t>Electronics</t>
  </si>
  <si>
    <t>Category</t>
  </si>
  <si>
    <t xml:space="preserve">Sum of Commission </t>
  </si>
  <si>
    <t>Lookup Region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</si>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</sst>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[MIS Reporting.xlsx] MIS Summary!PivotTable2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 MIS Summary'!$B$7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 MIS Summary'!$A$8:$A$20</c:f>
              <c:multiLvlStrCache>
                <c:ptCount val="9"/>
                <c:lvl>
                  <c:pt idx="0">
                    <c:v>Farhan</c:v>
                  </c:pt>
                  <c:pt idx="1">
                    <c:v>Ravi</c:v>
                  </c:pt>
                  <c:pt idx="2">
                    <c:v>Sneha </c:v>
                  </c:pt>
                  <c:pt idx="3">
                    <c:v>Arjun</c:v>
                  </c:pt>
                  <c:pt idx="4">
                    <c:v>Meera</c:v>
                  </c:pt>
                  <c:pt idx="5">
                    <c:v>Pooja</c:v>
                  </c:pt>
                  <c:pt idx="6">
                    <c:v>Divya</c:v>
                  </c:pt>
                  <c:pt idx="7">
                    <c:v>Karan</c:v>
                  </c:pt>
                  <c:pt idx="8">
                    <c:v>Rohit </c:v>
                  </c:pt>
                </c:lvl>
                <c:lvl>
                  <c:pt idx="0">
                    <c:v>Jan</c:v>
                  </c:pt>
                  <c:pt idx="3">
                    <c:v>Feb</c:v>
                  </c:pt>
                  <c:pt idx="6">
                    <c:v>Mar</c:v>
                  </c:pt>
                </c:lvl>
              </c:multiLvlStrCache>
            </c:multiLvlStrRef>
          </c:cat>
          <c:val>
            <c:numRef>
              <c:f>' MIS Summary'!$B$8:$B$20</c:f>
              <c:numCache>
                <c:formatCode>0.00%</c:formatCode>
                <c:ptCount val="9"/>
                <c:pt idx="0">
                  <c:v>0.10774410774410774</c:v>
                </c:pt>
                <c:pt idx="1">
                  <c:v>0.15151515151515152</c:v>
                </c:pt>
                <c:pt idx="2">
                  <c:v>0.10101010101010101</c:v>
                </c:pt>
                <c:pt idx="3">
                  <c:v>9.0909090909090912E-2</c:v>
                </c:pt>
                <c:pt idx="4">
                  <c:v>7.0707070707070704E-2</c:v>
                </c:pt>
                <c:pt idx="5">
                  <c:v>0.18181818181818182</c:v>
                </c:pt>
                <c:pt idx="6">
                  <c:v>0.12121212121212122</c:v>
                </c:pt>
                <c:pt idx="7">
                  <c:v>5.387205387205387E-2</c:v>
                </c:pt>
                <c:pt idx="8">
                  <c:v>0.12121212121212122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7-471C-99D5-A1AEC2E5DCF1}"/>
            </c:ext>
          </c:extLst>
        </c:ser>
        <c:ser>
          <c:idx val="1"/>
          <c:order val="1"/>
          <c:tx>
            <c:strRef>
              <c:f>' MIS Summary'!$C$7</c:f>
              <c:strCache>
                <c:ptCount val="1"/>
                <c:pt idx="0">
                  <c:v>Sum of Commission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 MIS Summary'!$A$8:$A$20</c:f>
              <c:multiLvlStrCache>
                <c:ptCount val="9"/>
                <c:lvl>
                  <c:pt idx="0">
                    <c:v>Farhan</c:v>
                  </c:pt>
                  <c:pt idx="1">
                    <c:v>Ravi</c:v>
                  </c:pt>
                  <c:pt idx="2">
                    <c:v>Sneha </c:v>
                  </c:pt>
                  <c:pt idx="3">
                    <c:v>Arjun</c:v>
                  </c:pt>
                  <c:pt idx="4">
                    <c:v>Meera</c:v>
                  </c:pt>
                  <c:pt idx="5">
                    <c:v>Pooja</c:v>
                  </c:pt>
                  <c:pt idx="6">
                    <c:v>Divya</c:v>
                  </c:pt>
                  <c:pt idx="7">
                    <c:v>Karan</c:v>
                  </c:pt>
                  <c:pt idx="8">
                    <c:v>Rohit </c:v>
                  </c:pt>
                </c:lvl>
                <c:lvl>
                  <c:pt idx="0">
                    <c:v>Jan</c:v>
                  </c:pt>
                  <c:pt idx="3">
                    <c:v>Feb</c:v>
                  </c:pt>
                  <c:pt idx="6">
                    <c:v>Mar</c:v>
                  </c:pt>
                </c:lvl>
              </c:multiLvlStrCache>
            </c:multiLvlStrRef>
          </c:cat>
          <c:val>
            <c:numRef>
              <c:f>' MIS Summary'!$C$8:$C$20</c:f>
              <c:numCache>
                <c:formatCode>0.00%</c:formatCode>
                <c:ptCount val="9"/>
                <c:pt idx="0">
                  <c:v>0.10774410774410774</c:v>
                </c:pt>
                <c:pt idx="1">
                  <c:v>0.15151515151515152</c:v>
                </c:pt>
                <c:pt idx="2">
                  <c:v>0.10101010101010101</c:v>
                </c:pt>
                <c:pt idx="3">
                  <c:v>9.0909090909090912E-2</c:v>
                </c:pt>
                <c:pt idx="4">
                  <c:v>7.0707070707070704E-2</c:v>
                </c:pt>
                <c:pt idx="5">
                  <c:v>0.18181818181818182</c:v>
                </c:pt>
                <c:pt idx="6">
                  <c:v>0.12121212121212122</c:v>
                </c:pt>
                <c:pt idx="7">
                  <c:v>5.387205387205387E-2</c:v>
                </c:pt>
                <c:pt idx="8">
                  <c:v>0.12121212121212122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67-471C-99D5-A1AEC2E5D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65679952"/>
        <c:axId val="1265691952"/>
        <c:axId val="0"/>
      </c:bar3DChart>
      <c:catAx>
        <c:axId val="126567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691952"/>
        <c:crosses val="autoZero"/>
        <c:auto val="1"/>
        <c:lblAlgn val="ctr"/>
        <c:lblOffset val="100"/>
        <c:noMultiLvlLbl val="0"/>
      </c:catAx>
      <c:valAx>
        <c:axId val="126569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67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24087</xdr:colOff>
      <xdr:row>5</xdr:row>
      <xdr:rowOff>150210</xdr:rowOff>
    </xdr:from>
    <xdr:to>
      <xdr:col>11</xdr:col>
      <xdr:colOff>304363</xdr:colOff>
      <xdr:row>20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9BDA3A-EFC9-CD0F-AB3B-691CC44AC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SCH" refreshedDate="46172.051310416668" createdVersion="8" refreshedVersion="8" minRefreshableVersion="3" recordCount="9" xr:uid="{694EEDE2-14C4-4C79-B071-149858E36DFC}">
  <cacheSource type="worksheet">
    <worksheetSource ref="A1:H10" sheet="Raw Data"/>
  </cacheSource>
  <cacheFields count="9">
    <cacheField name="SaleID" numFmtId="0">
      <sharedItems containsSemiMixedTypes="0" containsString="0" containsNumber="1" containsInteger="1" minValue="101" maxValue="109"/>
    </cacheField>
    <cacheField name="Salesperson" numFmtId="0">
      <sharedItems count="9">
        <s v="Ravi"/>
        <s v="Sneha "/>
        <s v="Farhan"/>
        <s v="Meera"/>
        <s v="Arjun"/>
        <s v="Pooja"/>
        <s v="Karan"/>
        <s v="Divya"/>
        <s v="Rohit "/>
      </sharedItems>
    </cacheField>
    <cacheField name="Region" numFmtId="0">
      <sharedItems count="3">
        <s v="Mumbai"/>
        <s v="Pune"/>
        <s v="Mmbai"/>
      </sharedItems>
    </cacheField>
    <cacheField name="Product" numFmtId="0">
      <sharedItems/>
    </cacheField>
    <cacheField name="Month" numFmtId="0">
      <sharedItems count="3">
        <s v="Jan"/>
        <s v="Feb"/>
        <s v="Mar"/>
      </sharedItems>
    </cacheField>
    <cacheField name="Units Sold" numFmtId="0">
      <sharedItems containsSemiMixedTypes="0" containsString="0" containsNumber="1" containsInteger="1" minValue="3" maxValue="12"/>
    </cacheField>
    <cacheField name="Price Per Unit" numFmtId="0">
      <sharedItems containsSemiMixedTypes="0" containsString="0" containsNumber="1" containsInteger="1" minValue="15000" maxValue="45000"/>
    </cacheField>
    <cacheField name="Total Sales" numFmtId="0">
      <sharedItems containsSemiMixedTypes="0" containsString="0" containsNumber="1" containsInteger="1" minValue="80000" maxValue="270000"/>
    </cacheField>
    <cacheField name="Commission " numFmtId="0" formula="'Total Sales'* 0.05" databaseField="0"/>
  </cacheFields>
  <extLst>
    <ext xmlns:x14="http://schemas.microsoft.com/office/spreadsheetml/2009/9/main" uri="{725AE2AE-9491-48be-B2B4-4EB974FC3084}">
      <x14:pivotCacheDefinition pivotCacheId="10953552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01"/>
    <x v="0"/>
    <x v="0"/>
    <s v="Laptop "/>
    <x v="0"/>
    <n v="5"/>
    <n v="45000"/>
    <n v="225000"/>
  </r>
  <r>
    <n v="102"/>
    <x v="1"/>
    <x v="1"/>
    <s v="Mobile"/>
    <x v="0"/>
    <n v="10"/>
    <n v="15000"/>
    <n v="150000"/>
  </r>
  <r>
    <n v="103"/>
    <x v="2"/>
    <x v="0"/>
    <s v="Tablet"/>
    <x v="0"/>
    <n v="8"/>
    <n v="20000"/>
    <n v="160000"/>
  </r>
  <r>
    <n v="104"/>
    <x v="3"/>
    <x v="0"/>
    <s v="Mobile"/>
    <x v="1"/>
    <n v="7"/>
    <n v="15000"/>
    <n v="105000"/>
  </r>
  <r>
    <n v="105"/>
    <x v="4"/>
    <x v="1"/>
    <s v="Laptop "/>
    <x v="1"/>
    <n v="3"/>
    <n v="45000"/>
    <n v="135000"/>
  </r>
  <r>
    <n v="106"/>
    <x v="5"/>
    <x v="2"/>
    <s v="Laptop "/>
    <x v="1"/>
    <n v="6"/>
    <n v="45000"/>
    <n v="270000"/>
  </r>
  <r>
    <n v="107"/>
    <x v="6"/>
    <x v="1"/>
    <s v="Tablet"/>
    <x v="2"/>
    <n v="4"/>
    <n v="20000"/>
    <n v="80000"/>
  </r>
  <r>
    <n v="108"/>
    <x v="7"/>
    <x v="0"/>
    <s v="Mobile"/>
    <x v="2"/>
    <n v="12"/>
    <n v="15000"/>
    <n v="180000"/>
  </r>
  <r>
    <n v="109"/>
    <x v="8"/>
    <x v="1"/>
    <s v="Tablet"/>
    <x v="2"/>
    <n v="9"/>
    <n v="20000"/>
    <n v="18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EB2B7-614D-4A27-A367-EF19A5AF629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7:C20" firstHeaderRow="0" firstDataRow="1" firstDataCol="1"/>
  <pivotFields count="9">
    <pivotField showAll="0"/>
    <pivotField axis="axisRow" showAll="0">
      <items count="10">
        <item x="4"/>
        <item x="7"/>
        <item x="2"/>
        <item x="6"/>
        <item x="3"/>
        <item x="5"/>
        <item x="0"/>
        <item x="8"/>
        <item x="1"/>
        <item t="default"/>
      </items>
    </pivotField>
    <pivotField showAll="0">
      <items count="4">
        <item h="1" x="2"/>
        <item x="0"/>
        <item h="1" x="1"/>
        <item t="default"/>
      </items>
    </pivotField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dataField="1" showAll="0"/>
    <pivotField dataField="1" dragToRow="0" dragToCol="0" dragToPage="0" showAll="0" defaultSubtotal="0"/>
  </pivotFields>
  <rowFields count="2">
    <field x="4"/>
    <field x="1"/>
  </rowFields>
  <rowItems count="13">
    <i>
      <x/>
    </i>
    <i r="1">
      <x v="2"/>
    </i>
    <i r="1">
      <x v="6"/>
    </i>
    <i r="1">
      <x v="8"/>
    </i>
    <i>
      <x v="1"/>
    </i>
    <i r="1">
      <x/>
    </i>
    <i r="1">
      <x v="4"/>
    </i>
    <i r="1">
      <x v="5"/>
    </i>
    <i>
      <x v="2"/>
    </i>
    <i r="1">
      <x v="1"/>
    </i>
    <i r="1">
      <x v="3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7" showDataAs="percentOfTotal" baseField="0" baseItem="0" numFmtId="10"/>
    <dataField name="Sum of Commission " fld="8" showDataAs="percentOfTotal" baseField="0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5EEF-C494-413F-9E11-BD0EE6F00AD7}">
  <dimension ref="A1:B4"/>
  <sheetViews>
    <sheetView workbookViewId="0">
      <selection activeCell="A5" sqref="A5"/>
    </sheetView>
  </sheetViews>
  <sheetFormatPr defaultRowHeight="15" x14ac:dyDescent="0.25"/>
  <cols>
    <col min="1" max="1" width="15.42578125" customWidth="1"/>
    <col min="2" max="2" width="15.28515625" customWidth="1"/>
  </cols>
  <sheetData>
    <row r="1" spans="1:2" x14ac:dyDescent="0.25">
      <c r="A1" t="s">
        <v>3</v>
      </c>
      <c r="B1" t="s">
        <v>35</v>
      </c>
    </row>
    <row r="2" spans="1:2" x14ac:dyDescent="0.25">
      <c r="A2" t="s">
        <v>33</v>
      </c>
      <c r="B2" t="s">
        <v>34</v>
      </c>
    </row>
    <row r="3" spans="1:2" x14ac:dyDescent="0.25">
      <c r="A3" t="s">
        <v>13</v>
      </c>
      <c r="B3" t="s">
        <v>34</v>
      </c>
    </row>
    <row r="4" spans="1:2" x14ac:dyDescent="0.25">
      <c r="A4" t="s">
        <v>15</v>
      </c>
      <c r="B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5D667-F70C-45C2-A912-730EEA179EE9}">
  <dimension ref="A1:C20"/>
  <sheetViews>
    <sheetView topLeftCell="A4" zoomScale="91" workbookViewId="0">
      <selection activeCell="O14" sqref="O14"/>
    </sheetView>
  </sheetViews>
  <sheetFormatPr defaultRowHeight="15" x14ac:dyDescent="0.25"/>
  <cols>
    <col min="1" max="1" width="15" bestFit="1" customWidth="1"/>
    <col min="2" max="2" width="19.42578125" bestFit="1" customWidth="1"/>
    <col min="3" max="3" width="21" bestFit="1" customWidth="1"/>
  </cols>
  <sheetData>
    <row r="1" spans="1:3" ht="18.75" x14ac:dyDescent="0.3">
      <c r="A1" s="4" t="s">
        <v>30</v>
      </c>
    </row>
    <row r="3" spans="1:3" ht="15.75" x14ac:dyDescent="0.25">
      <c r="A3" s="5" t="s">
        <v>28</v>
      </c>
      <c r="B3" s="5">
        <f>SUM('Raw Data'!H2:H10)</f>
        <v>1485000</v>
      </c>
    </row>
    <row r="4" spans="1:3" ht="15.75" x14ac:dyDescent="0.25">
      <c r="A4" s="5" t="s">
        <v>29</v>
      </c>
      <c r="B4" s="5" t="s">
        <v>19</v>
      </c>
    </row>
    <row r="5" spans="1:3" ht="15.75" x14ac:dyDescent="0.25">
      <c r="A5" s="5" t="s">
        <v>31</v>
      </c>
      <c r="B5" s="5" t="s">
        <v>17</v>
      </c>
    </row>
    <row r="7" spans="1:3" x14ac:dyDescent="0.25">
      <c r="A7" s="1" t="s">
        <v>24</v>
      </c>
      <c r="B7" t="s">
        <v>27</v>
      </c>
      <c r="C7" t="s">
        <v>36</v>
      </c>
    </row>
    <row r="8" spans="1:3" x14ac:dyDescent="0.25">
      <c r="A8" s="2" t="s">
        <v>10</v>
      </c>
      <c r="B8" s="6">
        <v>0.36026936026936029</v>
      </c>
      <c r="C8" s="6">
        <v>0.36026936026936029</v>
      </c>
    </row>
    <row r="9" spans="1:3" x14ac:dyDescent="0.25">
      <c r="A9" s="3" t="s">
        <v>14</v>
      </c>
      <c r="B9" s="6">
        <v>0.10774410774410774</v>
      </c>
      <c r="C9" s="6">
        <v>0.10774410774410774</v>
      </c>
    </row>
    <row r="10" spans="1:3" x14ac:dyDescent="0.25">
      <c r="A10" s="3" t="s">
        <v>7</v>
      </c>
      <c r="B10" s="6">
        <v>0.15151515151515152</v>
      </c>
      <c r="C10" s="6">
        <v>0.15151515151515152</v>
      </c>
    </row>
    <row r="11" spans="1:3" x14ac:dyDescent="0.25">
      <c r="A11" s="3" t="s">
        <v>11</v>
      </c>
      <c r="B11" s="6">
        <v>0.10101010101010101</v>
      </c>
      <c r="C11" s="6">
        <v>0.10101010101010101</v>
      </c>
    </row>
    <row r="12" spans="1:3" x14ac:dyDescent="0.25">
      <c r="A12" s="2" t="s">
        <v>17</v>
      </c>
      <c r="B12" s="6">
        <v>0.34343434343434343</v>
      </c>
      <c r="C12" s="6">
        <v>0.34343434343434343</v>
      </c>
    </row>
    <row r="13" spans="1:3" x14ac:dyDescent="0.25">
      <c r="A13" s="3" t="s">
        <v>18</v>
      </c>
      <c r="B13" s="6">
        <v>9.0909090909090912E-2</v>
      </c>
      <c r="C13" s="6">
        <v>9.0909090909090912E-2</v>
      </c>
    </row>
    <row r="14" spans="1:3" x14ac:dyDescent="0.25">
      <c r="A14" s="3" t="s">
        <v>16</v>
      </c>
      <c r="B14" s="6">
        <v>7.0707070707070704E-2</v>
      </c>
      <c r="C14" s="6">
        <v>7.0707070707070704E-2</v>
      </c>
    </row>
    <row r="15" spans="1:3" x14ac:dyDescent="0.25">
      <c r="A15" s="3" t="s">
        <v>19</v>
      </c>
      <c r="B15" s="6">
        <v>0.18181818181818182</v>
      </c>
      <c r="C15" s="6">
        <v>0.18181818181818182</v>
      </c>
    </row>
    <row r="16" spans="1:3" x14ac:dyDescent="0.25">
      <c r="A16" s="2" t="s">
        <v>21</v>
      </c>
      <c r="B16" s="6">
        <v>0.29629629629629628</v>
      </c>
      <c r="C16" s="6">
        <v>0.29629629629629628</v>
      </c>
    </row>
    <row r="17" spans="1:3" x14ac:dyDescent="0.25">
      <c r="A17" s="3" t="s">
        <v>22</v>
      </c>
      <c r="B17" s="6">
        <v>0.12121212121212122</v>
      </c>
      <c r="C17" s="6">
        <v>0.12121212121212122</v>
      </c>
    </row>
    <row r="18" spans="1:3" x14ac:dyDescent="0.25">
      <c r="A18" s="3" t="s">
        <v>20</v>
      </c>
      <c r="B18" s="6">
        <v>5.387205387205387E-2</v>
      </c>
      <c r="C18" s="6">
        <v>5.387205387205387E-2</v>
      </c>
    </row>
    <row r="19" spans="1:3" x14ac:dyDescent="0.25">
      <c r="A19" s="3" t="s">
        <v>23</v>
      </c>
      <c r="B19" s="6">
        <v>0.12121212121212122</v>
      </c>
      <c r="C19" s="6">
        <v>0.12121212121212122</v>
      </c>
    </row>
    <row r="20" spans="1:3" x14ac:dyDescent="0.25">
      <c r="A20" s="2" t="s">
        <v>25</v>
      </c>
      <c r="B20" s="6">
        <v>1</v>
      </c>
      <c r="C20" s="6">
        <v>1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B47C6-D9BD-4F9A-9D14-4EB33E935E48}">
  <dimension ref="A1:K10"/>
  <sheetViews>
    <sheetView tabSelected="1" workbookViewId="0">
      <selection activeCell="L10" sqref="L10"/>
    </sheetView>
  </sheetViews>
  <sheetFormatPr defaultRowHeight="15" x14ac:dyDescent="0.25"/>
  <cols>
    <col min="1" max="1" width="13.28515625" customWidth="1"/>
    <col min="2" max="2" width="14.7109375" customWidth="1"/>
    <col min="3" max="3" width="12.85546875" customWidth="1"/>
    <col min="4" max="4" width="13.42578125" customWidth="1"/>
    <col min="5" max="5" width="14" customWidth="1"/>
    <col min="6" max="6" width="11" customWidth="1"/>
    <col min="7" max="7" width="13.140625" customWidth="1"/>
    <col min="8" max="8" width="13.7109375" customWidth="1"/>
    <col min="9" max="9" width="22" customWidth="1"/>
    <col min="10" max="10" width="16.85546875" customWidth="1"/>
    <col min="11" max="11" width="15.7109375" customWidth="1"/>
    <col min="12" max="12" width="14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</v>
      </c>
      <c r="I1" t="s">
        <v>32</v>
      </c>
      <c r="J1" t="s">
        <v>37</v>
      </c>
      <c r="K1" t="s">
        <v>38</v>
      </c>
    </row>
    <row r="2" spans="1:11" x14ac:dyDescent="0.25">
      <c r="A2">
        <v>101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45000</v>
      </c>
      <c r="H2">
        <f>F2*G2</f>
        <v>225000</v>
      </c>
      <c r="I2" t="str">
        <f>VLOOKUP(TRIM(D2),'Product List'!A:B,2,0)</f>
        <v>Electronics</v>
      </c>
      <c r="J2" t="str">
        <f>VLOOKUP(B2,$B$2:$C$10,2,0)</f>
        <v>Mumbai</v>
      </c>
      <c r="K2" t="str">
        <f>IF(H2&gt;=200000,"High","Low")</f>
        <v>High</v>
      </c>
    </row>
    <row r="3" spans="1:11" x14ac:dyDescent="0.25">
      <c r="A3">
        <v>102</v>
      </c>
      <c r="B3" t="s">
        <v>11</v>
      </c>
      <c r="C3" t="s">
        <v>12</v>
      </c>
      <c r="D3" t="s">
        <v>13</v>
      </c>
      <c r="E3" t="s">
        <v>10</v>
      </c>
      <c r="F3">
        <v>10</v>
      </c>
      <c r="G3">
        <v>15000</v>
      </c>
      <c r="H3">
        <f t="shared" ref="H3:H9" si="0">F3*G3</f>
        <v>150000</v>
      </c>
      <c r="I3" t="str">
        <f>VLOOKUP(TRIM(D3),'Product List'!A:B,2,0)</f>
        <v>Electronics</v>
      </c>
      <c r="J3" t="str">
        <f t="shared" ref="J3:J10" si="1">VLOOKUP(B3,$B$2:$C$10,2,0)</f>
        <v>Pune</v>
      </c>
      <c r="K3" t="str">
        <f t="shared" ref="K3:K10" si="2">IF(H3&gt;=200000,"High","Low")</f>
        <v>Low</v>
      </c>
    </row>
    <row r="4" spans="1:11" x14ac:dyDescent="0.25">
      <c r="A4">
        <v>103</v>
      </c>
      <c r="B4" t="s">
        <v>14</v>
      </c>
      <c r="C4" t="s">
        <v>8</v>
      </c>
      <c r="D4" t="s">
        <v>15</v>
      </c>
      <c r="E4" t="s">
        <v>10</v>
      </c>
      <c r="F4">
        <v>8</v>
      </c>
      <c r="G4">
        <v>20000</v>
      </c>
      <c r="H4">
        <f t="shared" si="0"/>
        <v>160000</v>
      </c>
      <c r="I4" t="str">
        <f>VLOOKUP(TRIM(D4),'Product List'!A:B,2,0)</f>
        <v>Electronics</v>
      </c>
      <c r="J4" t="str">
        <f t="shared" si="1"/>
        <v>Mumbai</v>
      </c>
      <c r="K4" t="str">
        <f t="shared" si="2"/>
        <v>Low</v>
      </c>
    </row>
    <row r="5" spans="1:11" x14ac:dyDescent="0.25">
      <c r="A5">
        <v>104</v>
      </c>
      <c r="B5" t="s">
        <v>16</v>
      </c>
      <c r="C5" t="s">
        <v>8</v>
      </c>
      <c r="D5" t="s">
        <v>13</v>
      </c>
      <c r="E5" t="s">
        <v>17</v>
      </c>
      <c r="F5">
        <v>7</v>
      </c>
      <c r="G5">
        <v>15000</v>
      </c>
      <c r="H5">
        <f t="shared" si="0"/>
        <v>105000</v>
      </c>
      <c r="I5" t="str">
        <f>VLOOKUP(TRIM(D5),'Product List'!A:B,2,0)</f>
        <v>Electronics</v>
      </c>
      <c r="J5" t="str">
        <f t="shared" si="1"/>
        <v>Mumbai</v>
      </c>
      <c r="K5" t="str">
        <f t="shared" si="2"/>
        <v>Low</v>
      </c>
    </row>
    <row r="6" spans="1:11" x14ac:dyDescent="0.25">
      <c r="A6">
        <v>105</v>
      </c>
      <c r="B6" t="s">
        <v>18</v>
      </c>
      <c r="C6" t="s">
        <v>12</v>
      </c>
      <c r="D6" t="s">
        <v>9</v>
      </c>
      <c r="E6" t="s">
        <v>17</v>
      </c>
      <c r="F6">
        <v>3</v>
      </c>
      <c r="G6">
        <v>45000</v>
      </c>
      <c r="H6">
        <f t="shared" si="0"/>
        <v>135000</v>
      </c>
      <c r="I6" t="str">
        <f>VLOOKUP(TRIM(D6),'Product List'!A:B,2,0)</f>
        <v>Electronics</v>
      </c>
      <c r="J6" t="str">
        <f t="shared" si="1"/>
        <v>Pune</v>
      </c>
      <c r="K6" t="str">
        <f t="shared" si="2"/>
        <v>Low</v>
      </c>
    </row>
    <row r="7" spans="1:11" x14ac:dyDescent="0.25">
      <c r="A7">
        <v>106</v>
      </c>
      <c r="B7" t="s">
        <v>19</v>
      </c>
      <c r="C7" t="s">
        <v>8</v>
      </c>
      <c r="D7" t="s">
        <v>9</v>
      </c>
      <c r="E7" t="s">
        <v>17</v>
      </c>
      <c r="F7">
        <v>6</v>
      </c>
      <c r="G7">
        <v>45000</v>
      </c>
      <c r="H7">
        <f t="shared" si="0"/>
        <v>270000</v>
      </c>
      <c r="I7" t="str">
        <f>VLOOKUP(TRIM(D7),'Product List'!A:B,2,0)</f>
        <v>Electronics</v>
      </c>
      <c r="J7" t="str">
        <f t="shared" si="1"/>
        <v>Mumbai</v>
      </c>
      <c r="K7" t="str">
        <f t="shared" si="2"/>
        <v>High</v>
      </c>
    </row>
    <row r="8" spans="1:11" x14ac:dyDescent="0.25">
      <c r="A8">
        <v>107</v>
      </c>
      <c r="B8" t="s">
        <v>20</v>
      </c>
      <c r="C8" t="s">
        <v>12</v>
      </c>
      <c r="D8" t="s">
        <v>15</v>
      </c>
      <c r="E8" t="s">
        <v>21</v>
      </c>
      <c r="F8">
        <v>4</v>
      </c>
      <c r="G8">
        <v>20000</v>
      </c>
      <c r="H8">
        <f t="shared" si="0"/>
        <v>80000</v>
      </c>
      <c r="I8" t="str">
        <f>VLOOKUP(TRIM(D8),'Product List'!A:B,2,0)</f>
        <v>Electronics</v>
      </c>
      <c r="J8" t="str">
        <f t="shared" si="1"/>
        <v>Pune</v>
      </c>
      <c r="K8" t="str">
        <f t="shared" si="2"/>
        <v>Low</v>
      </c>
    </row>
    <row r="9" spans="1:11" x14ac:dyDescent="0.25">
      <c r="A9">
        <v>108</v>
      </c>
      <c r="B9" t="s">
        <v>22</v>
      </c>
      <c r="C9" t="s">
        <v>8</v>
      </c>
      <c r="D9" t="s">
        <v>13</v>
      </c>
      <c r="E9" t="s">
        <v>21</v>
      </c>
      <c r="F9">
        <v>12</v>
      </c>
      <c r="G9">
        <v>15000</v>
      </c>
      <c r="H9">
        <f t="shared" si="0"/>
        <v>180000</v>
      </c>
      <c r="I9" t="str">
        <f>VLOOKUP(TRIM(D9),'Product List'!A:B,2,0)</f>
        <v>Electronics</v>
      </c>
      <c r="J9" t="str">
        <f t="shared" si="1"/>
        <v>Mumbai</v>
      </c>
      <c r="K9" t="str">
        <f t="shared" si="2"/>
        <v>Low</v>
      </c>
    </row>
    <row r="10" spans="1:11" x14ac:dyDescent="0.25">
      <c r="A10">
        <v>109</v>
      </c>
      <c r="B10" t="s">
        <v>23</v>
      </c>
      <c r="C10" t="s">
        <v>12</v>
      </c>
      <c r="D10" t="s">
        <v>15</v>
      </c>
      <c r="E10" t="s">
        <v>21</v>
      </c>
      <c r="F10">
        <v>9</v>
      </c>
      <c r="G10">
        <v>20000</v>
      </c>
      <c r="H10">
        <f>F10*G10</f>
        <v>180000</v>
      </c>
      <c r="I10" t="str">
        <f>VLOOKUP(TRIM(D10),'Product List'!A:B,2,0)</f>
        <v>Electronics</v>
      </c>
      <c r="J10" t="str">
        <f t="shared" si="1"/>
        <v>Pune</v>
      </c>
      <c r="K10" t="str">
        <f t="shared" si="2"/>
        <v>Low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List</vt:lpstr>
      <vt:lpstr> MIS Summary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kadirinidasayediqbal@gmail.com</dc:creator>
  <cp:lastModifiedBy>kadirinidasayediqbal@gmail.com</cp:lastModifiedBy>
  <dcterms:created xsi:type="dcterms:W3CDTF">2026-05-29T19:21:11Z</dcterms:created>
  <dcterms:modified xsi:type="dcterms:W3CDTF">2026-05-31T17:27:07Z</dcterms:modified>
</cp:coreProperties>
</file>